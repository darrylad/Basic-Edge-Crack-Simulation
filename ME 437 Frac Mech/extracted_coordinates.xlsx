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ed_coordinates" sheetId="1" r:id="rId5"/>
  </sheets>
  <definedNames/>
  <calcPr/>
</workbook>
</file>

<file path=xl/sharedStrings.xml><?xml version="1.0" encoding="utf-8"?>
<sst xmlns="http://schemas.openxmlformats.org/spreadsheetml/2006/main" count="17" uniqueCount="16">
  <si>
    <t>Node_ID</t>
  </si>
  <si>
    <t>X</t>
  </si>
  <si>
    <t>Y</t>
  </si>
  <si>
    <t>Z</t>
  </si>
  <si>
    <t>r</t>
  </si>
  <si>
    <t>theta</t>
  </si>
  <si>
    <t>theoritical:</t>
  </si>
  <si>
    <t>K</t>
  </si>
  <si>
    <t>sigma11</t>
  </si>
  <si>
    <t>sigma22</t>
  </si>
  <si>
    <t>sigma12</t>
  </si>
  <si>
    <t xml:space="preserve">actual: </t>
  </si>
  <si>
    <t>Node_Label</t>
  </si>
  <si>
    <t>a_sigma11</t>
  </si>
  <si>
    <t>a_sigma22</t>
  </si>
  <si>
    <t>a_sigma12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</si>
</sst>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4" t="s">
        <v>7</v>
      </c>
      <c r="N1" s="5" t="s">
        <v>12</v>
      </c>
      <c r="O1" s="6" t="s">
        <v>13</v>
      </c>
      <c r="P1" s="6" t="s">
        <v>14</v>
      </c>
      <c r="Q1" s="6" t="s">
        <v>15</v>
      </c>
    </row>
    <row r="2">
      <c r="A2" s="1">
        <v>2.0</v>
      </c>
      <c r="B2" s="1">
        <v>0.0</v>
      </c>
      <c r="C2" s="1">
        <v>30.0</v>
      </c>
      <c r="D2" s="1">
        <v>0.0</v>
      </c>
      <c r="E2" s="7">
        <f t="shared" ref="E2:E66" si="1">SQRT(C2^2 + B2^2)</f>
        <v>30</v>
      </c>
      <c r="F2" s="7">
        <f t="shared" ref="F2:F66" si="2">DEGREES(ATAN2(B2,C2))</f>
        <v>90</v>
      </c>
      <c r="H2" s="1">
        <v>1.0</v>
      </c>
      <c r="I2" s="7">
        <f t="shared" ref="I2:I66" si="3">(H2/SQRT(2*PI()*E2)) * COS(F2/2) * (1 - SIN(F2/2) * SIN(3*F2/2))</f>
        <v>0.0353855557</v>
      </c>
      <c r="J2" s="7">
        <f t="shared" ref="J2:J66" si="4">(H2/SQRT(2*PI()*E2)) * COS(F2/2) * (1 + SIN(F2/2) * SIN(3*F2/2))</f>
        <v>0.04113973956</v>
      </c>
      <c r="K2" s="7">
        <f t="shared" ref="K2:K66" si="5">(H2/SQRT(2*PI()*E2)) * COS(F2/2) *  SIN(F2/2) * SIN(3*F2/2)</f>
        <v>0.002877091928</v>
      </c>
      <c r="M2" s="1">
        <v>1.0</v>
      </c>
      <c r="N2" s="8">
        <v>2.0</v>
      </c>
      <c r="O2" s="9">
        <v>0.4784404</v>
      </c>
      <c r="P2" s="9">
        <v>1.435195</v>
      </c>
      <c r="Q2" s="9">
        <v>-0.50039</v>
      </c>
    </row>
    <row r="3">
      <c r="A3" s="1">
        <v>3.0</v>
      </c>
      <c r="B3" s="1">
        <v>-29.998501</v>
      </c>
      <c r="C3" s="1">
        <v>0.3</v>
      </c>
      <c r="D3" s="1">
        <v>0.0</v>
      </c>
      <c r="E3" s="7">
        <f t="shared" si="1"/>
        <v>30.00000104</v>
      </c>
      <c r="F3" s="7">
        <f t="shared" si="2"/>
        <v>179.4270327</v>
      </c>
      <c r="H3" s="1">
        <v>1.0</v>
      </c>
      <c r="I3" s="7">
        <f t="shared" si="3"/>
        <v>-0.02383618272</v>
      </c>
      <c r="J3" s="7">
        <f t="shared" si="4"/>
        <v>-0.001974946003</v>
      </c>
      <c r="K3" s="7">
        <f t="shared" si="5"/>
        <v>0.01093061836</v>
      </c>
      <c r="M3" s="1">
        <v>1.0</v>
      </c>
      <c r="N3" s="8">
        <v>3.0</v>
      </c>
      <c r="O3" s="9">
        <v>0.09013028</v>
      </c>
      <c r="P3" s="9">
        <v>-1.351321E-4</v>
      </c>
      <c r="Q3" s="9">
        <v>-0.004638498</v>
      </c>
    </row>
    <row r="4">
      <c r="A4" s="1">
        <v>4.0</v>
      </c>
      <c r="B4" s="1">
        <v>0.0</v>
      </c>
      <c r="C4" s="1">
        <v>-30.0</v>
      </c>
      <c r="D4" s="1">
        <v>0.0</v>
      </c>
      <c r="E4" s="7">
        <f t="shared" si="1"/>
        <v>30</v>
      </c>
      <c r="F4" s="7">
        <f t="shared" si="2"/>
        <v>-90</v>
      </c>
      <c r="H4" s="1">
        <v>1.0</v>
      </c>
      <c r="I4" s="7">
        <f t="shared" si="3"/>
        <v>0.0353855557</v>
      </c>
      <c r="J4" s="7">
        <f t="shared" si="4"/>
        <v>0.04113973956</v>
      </c>
      <c r="K4" s="7">
        <f t="shared" si="5"/>
        <v>0.002877091928</v>
      </c>
      <c r="M4" s="1">
        <v>1.0</v>
      </c>
      <c r="N4" s="8">
        <v>4.0</v>
      </c>
      <c r="O4" s="9">
        <v>0.4784298</v>
      </c>
      <c r="P4" s="9">
        <v>1.434678</v>
      </c>
      <c r="Q4" s="9">
        <v>0.5005495</v>
      </c>
    </row>
    <row r="5">
      <c r="A5" s="1">
        <v>6.0</v>
      </c>
      <c r="B5" s="1">
        <v>-29.998501</v>
      </c>
      <c r="C5" s="1">
        <v>-0.3</v>
      </c>
      <c r="D5" s="1">
        <v>0.0</v>
      </c>
      <c r="E5" s="7">
        <f t="shared" si="1"/>
        <v>30.00000104</v>
      </c>
      <c r="F5" s="7">
        <f t="shared" si="2"/>
        <v>-179.4270327</v>
      </c>
      <c r="H5" s="1">
        <v>1.0</v>
      </c>
      <c r="I5" s="7">
        <f t="shared" si="3"/>
        <v>-0.02383618272</v>
      </c>
      <c r="J5" s="7">
        <f t="shared" si="4"/>
        <v>-0.001974946003</v>
      </c>
      <c r="K5" s="7">
        <f t="shared" si="5"/>
        <v>0.01093061836</v>
      </c>
      <c r="M5" s="1">
        <v>1.0</v>
      </c>
      <c r="N5" s="8">
        <v>6.0</v>
      </c>
      <c r="O5" s="9">
        <v>0.08414332</v>
      </c>
      <c r="P5" s="9">
        <v>-0.003290251</v>
      </c>
      <c r="Q5" s="9">
        <v>0.0040526</v>
      </c>
    </row>
    <row r="6">
      <c r="A6" s="1">
        <v>7.0</v>
      </c>
      <c r="B6" s="1">
        <v>30.0</v>
      </c>
      <c r="C6" s="1">
        <v>0.0</v>
      </c>
      <c r="D6" s="1">
        <v>0.0</v>
      </c>
      <c r="E6" s="7">
        <f t="shared" si="1"/>
        <v>30</v>
      </c>
      <c r="F6" s="7">
        <f t="shared" si="2"/>
        <v>0</v>
      </c>
      <c r="H6" s="1">
        <v>1.0</v>
      </c>
      <c r="I6" s="7">
        <f t="shared" si="3"/>
        <v>0.07283656204</v>
      </c>
      <c r="J6" s="7">
        <f t="shared" si="4"/>
        <v>0.07283656204</v>
      </c>
      <c r="K6" s="7">
        <f t="shared" si="5"/>
        <v>0</v>
      </c>
      <c r="M6" s="1">
        <v>1.0</v>
      </c>
      <c r="N6" s="8">
        <v>7.0</v>
      </c>
      <c r="O6" s="9">
        <v>1.39726</v>
      </c>
      <c r="P6" s="9">
        <v>1.400764</v>
      </c>
      <c r="Q6" s="9">
        <v>-1.076423E-5</v>
      </c>
    </row>
    <row r="7">
      <c r="A7" s="1">
        <v>24.0</v>
      </c>
      <c r="B7" s="1">
        <v>-2.921854</v>
      </c>
      <c r="C7" s="1">
        <v>29.857374</v>
      </c>
      <c r="D7" s="1">
        <v>0.0</v>
      </c>
      <c r="E7" s="7">
        <f t="shared" si="1"/>
        <v>30.00000022</v>
      </c>
      <c r="F7" s="7">
        <f t="shared" si="2"/>
        <v>95.58919024</v>
      </c>
      <c r="H7" s="1">
        <v>1.0</v>
      </c>
      <c r="I7" s="7">
        <f t="shared" si="3"/>
        <v>-0.02499249133</v>
      </c>
      <c r="J7" s="7">
        <f t="shared" si="4"/>
        <v>-0.08912542686</v>
      </c>
      <c r="K7" s="7">
        <f t="shared" si="5"/>
        <v>-0.03206646777</v>
      </c>
      <c r="M7" s="1">
        <v>1.0</v>
      </c>
      <c r="N7" s="8">
        <v>24.0</v>
      </c>
      <c r="O7" s="9">
        <v>0.5090578</v>
      </c>
      <c r="P7" s="9">
        <v>1.304722</v>
      </c>
      <c r="Q7" s="9">
        <v>-0.5609407</v>
      </c>
    </row>
    <row r="8">
      <c r="A8" s="1">
        <v>25.0</v>
      </c>
      <c r="B8" s="1">
        <v>-5.815925</v>
      </c>
      <c r="C8" s="1">
        <v>29.430851</v>
      </c>
      <c r="D8" s="1">
        <v>0.0</v>
      </c>
      <c r="E8" s="7">
        <f t="shared" si="1"/>
        <v>29.99999957</v>
      </c>
      <c r="F8" s="7">
        <f t="shared" si="2"/>
        <v>101.1783792</v>
      </c>
      <c r="H8" s="1">
        <v>1.0</v>
      </c>
      <c r="I8" s="7">
        <f t="shared" si="3"/>
        <v>0.05092126254</v>
      </c>
      <c r="J8" s="7">
        <f t="shared" si="4"/>
        <v>0.08718600242</v>
      </c>
      <c r="K8" s="7">
        <f t="shared" si="5"/>
        <v>0.01813236994</v>
      </c>
      <c r="M8" s="1">
        <v>1.0</v>
      </c>
      <c r="N8" s="8">
        <v>25.0</v>
      </c>
      <c r="O8" s="9">
        <v>0.5476531</v>
      </c>
      <c r="P8" s="9">
        <v>1.164727</v>
      </c>
      <c r="Q8" s="9">
        <v>-0.6025779</v>
      </c>
    </row>
    <row r="9">
      <c r="A9" s="1">
        <v>26.0</v>
      </c>
      <c r="B9" s="1">
        <v>-8.654696</v>
      </c>
      <c r="C9" s="1">
        <v>28.724489</v>
      </c>
      <c r="D9" s="1">
        <v>0.0</v>
      </c>
      <c r="E9" s="7">
        <f t="shared" si="1"/>
        <v>30.00000052</v>
      </c>
      <c r="F9" s="7">
        <f t="shared" si="2"/>
        <v>106.7675678</v>
      </c>
      <c r="H9" s="1">
        <v>1.0</v>
      </c>
      <c r="I9" s="7">
        <f t="shared" si="3"/>
        <v>-0.07269840827</v>
      </c>
      <c r="J9" s="7">
        <f t="shared" si="4"/>
        <v>-0.07293520397</v>
      </c>
      <c r="K9" s="7">
        <f t="shared" si="5"/>
        <v>-0.0001183978504</v>
      </c>
      <c r="M9" s="1">
        <v>1.0</v>
      </c>
      <c r="N9" s="8">
        <v>26.0</v>
      </c>
      <c r="O9" s="9">
        <v>0.5902662</v>
      </c>
      <c r="P9" s="9">
        <v>1.018259</v>
      </c>
      <c r="Q9" s="9">
        <v>-0.6251346</v>
      </c>
    </row>
    <row r="10">
      <c r="A10" s="1">
        <v>27.0</v>
      </c>
      <c r="B10" s="1">
        <v>-11.411175</v>
      </c>
      <c r="C10" s="1">
        <v>27.745001</v>
      </c>
      <c r="D10" s="1">
        <v>0.0</v>
      </c>
      <c r="E10" s="7">
        <f t="shared" si="1"/>
        <v>29.99999992</v>
      </c>
      <c r="F10" s="7">
        <f t="shared" si="2"/>
        <v>112.3567581</v>
      </c>
      <c r="H10" s="1">
        <v>1.0</v>
      </c>
      <c r="I10" s="7">
        <f t="shared" si="3"/>
        <v>0.04588141059</v>
      </c>
      <c r="J10" s="7">
        <f t="shared" si="4"/>
        <v>0.08991841302</v>
      </c>
      <c r="K10" s="7">
        <f t="shared" si="5"/>
        <v>0.02201850122</v>
      </c>
      <c r="M10" s="1">
        <v>1.0</v>
      </c>
      <c r="N10" s="8">
        <v>27.0</v>
      </c>
      <c r="O10" s="9">
        <v>0.6323793</v>
      </c>
      <c r="P10" s="9">
        <v>0.8678524</v>
      </c>
      <c r="Q10" s="9">
        <v>-0.6276554</v>
      </c>
    </row>
    <row r="11">
      <c r="A11" s="1">
        <v>28.0</v>
      </c>
      <c r="B11" s="1">
        <v>-14.059152</v>
      </c>
      <c r="C11" s="1">
        <v>26.501703</v>
      </c>
      <c r="D11" s="1">
        <v>0.0</v>
      </c>
      <c r="E11" s="7">
        <f t="shared" si="1"/>
        <v>30.00000028</v>
      </c>
      <c r="F11" s="7">
        <f t="shared" si="2"/>
        <v>117.9459481</v>
      </c>
      <c r="H11" s="1">
        <v>1.0</v>
      </c>
      <c r="I11" s="7">
        <f t="shared" si="3"/>
        <v>-0.02472977866</v>
      </c>
      <c r="J11" s="7">
        <f t="shared" si="4"/>
        <v>-0.08504836314</v>
      </c>
      <c r="K11" s="7">
        <f t="shared" si="5"/>
        <v>-0.03015929224</v>
      </c>
      <c r="M11" s="1">
        <v>1.0</v>
      </c>
      <c r="N11" s="8">
        <v>28.0</v>
      </c>
      <c r="O11" s="9">
        <v>0.669571</v>
      </c>
      <c r="P11" s="9">
        <v>0.7172787</v>
      </c>
      <c r="Q11" s="9">
        <v>-0.6093082</v>
      </c>
    </row>
    <row r="12">
      <c r="A12" s="1">
        <v>29.0</v>
      </c>
      <c r="B12" s="1">
        <v>-16.573448</v>
      </c>
      <c r="C12" s="1">
        <v>25.006416</v>
      </c>
      <c r="D12" s="1">
        <v>0.0</v>
      </c>
      <c r="E12" s="7">
        <f t="shared" si="1"/>
        <v>30.00000033</v>
      </c>
      <c r="F12" s="7">
        <f t="shared" si="2"/>
        <v>123.5351365</v>
      </c>
      <c r="H12" s="1">
        <v>1.0</v>
      </c>
      <c r="I12" s="7">
        <f t="shared" si="3"/>
        <v>0.03691840325</v>
      </c>
      <c r="J12" s="7">
        <f t="shared" si="4"/>
        <v>0.03375196061</v>
      </c>
      <c r="K12" s="7">
        <f t="shared" si="5"/>
        <v>-0.001583221321</v>
      </c>
      <c r="M12" s="1">
        <v>1.0</v>
      </c>
      <c r="N12" s="8">
        <v>29.0</v>
      </c>
      <c r="O12" s="9">
        <v>0.6956036</v>
      </c>
      <c r="P12" s="9">
        <v>0.5737218</v>
      </c>
      <c r="Q12" s="9">
        <v>-0.5711254</v>
      </c>
    </row>
    <row r="13">
      <c r="A13" s="1">
        <v>30.0</v>
      </c>
      <c r="B13" s="1">
        <v>-18.930157</v>
      </c>
      <c r="C13" s="1">
        <v>23.273357</v>
      </c>
      <c r="D13" s="1">
        <v>0.0</v>
      </c>
      <c r="E13" s="7">
        <f t="shared" si="1"/>
        <v>29.99999983</v>
      </c>
      <c r="F13" s="7">
        <f t="shared" si="2"/>
        <v>129.1243261</v>
      </c>
      <c r="H13" s="1">
        <v>1.0</v>
      </c>
      <c r="I13" s="7">
        <f t="shared" si="3"/>
        <v>-0.02170846143</v>
      </c>
      <c r="J13" s="7">
        <f t="shared" si="4"/>
        <v>-0.001429972632</v>
      </c>
      <c r="K13" s="7">
        <f t="shared" si="5"/>
        <v>0.0101392444</v>
      </c>
      <c r="M13" s="1">
        <v>1.0</v>
      </c>
      <c r="N13" s="8">
        <v>30.0</v>
      </c>
      <c r="O13" s="9">
        <v>0.7078082</v>
      </c>
      <c r="P13" s="9">
        <v>0.4428826</v>
      </c>
      <c r="Q13" s="9">
        <v>-0.5170076</v>
      </c>
    </row>
    <row r="14">
      <c r="A14" s="1">
        <v>31.0</v>
      </c>
      <c r="B14" s="1">
        <v>-21.106871</v>
      </c>
      <c r="C14" s="1">
        <v>21.319006</v>
      </c>
      <c r="D14" s="1">
        <v>0.0</v>
      </c>
      <c r="E14" s="7">
        <f t="shared" si="1"/>
        <v>30.00000034</v>
      </c>
      <c r="F14" s="7">
        <f t="shared" si="2"/>
        <v>134.7135159</v>
      </c>
      <c r="H14" s="1">
        <v>1.0</v>
      </c>
      <c r="I14" s="7">
        <f t="shared" si="3"/>
        <v>-0.02485906524</v>
      </c>
      <c r="J14" s="7">
        <f t="shared" si="4"/>
        <v>-0.002292609393</v>
      </c>
      <c r="K14" s="7">
        <f t="shared" si="5"/>
        <v>0.01128322792</v>
      </c>
      <c r="M14" s="1">
        <v>1.0</v>
      </c>
      <c r="N14" s="8">
        <v>31.0</v>
      </c>
      <c r="O14" s="9">
        <v>0.7028173</v>
      </c>
      <c r="P14" s="9">
        <v>0.3276016</v>
      </c>
      <c r="Q14" s="9">
        <v>-0.4514274</v>
      </c>
    </row>
    <row r="15">
      <c r="A15" s="1">
        <v>32.0</v>
      </c>
      <c r="B15" s="1">
        <v>-23.082891</v>
      </c>
      <c r="C15" s="1">
        <v>19.161945</v>
      </c>
      <c r="D15" s="1">
        <v>0.0</v>
      </c>
      <c r="E15" s="7">
        <f t="shared" si="1"/>
        <v>29.99999989</v>
      </c>
      <c r="F15" s="7">
        <f t="shared" si="2"/>
        <v>140.3027043</v>
      </c>
      <c r="H15" s="1">
        <v>1.0</v>
      </c>
      <c r="I15" s="7">
        <f t="shared" si="3"/>
        <v>0.03606033294</v>
      </c>
      <c r="J15" s="7">
        <f t="shared" si="4"/>
        <v>0.03814495144</v>
      </c>
      <c r="K15" s="7">
        <f t="shared" si="5"/>
        <v>0.001042309252</v>
      </c>
      <c r="M15" s="1">
        <v>1.0</v>
      </c>
      <c r="N15" s="8">
        <v>32.0</v>
      </c>
      <c r="O15" s="9">
        <v>0.6794426</v>
      </c>
      <c r="P15" s="9">
        <v>0.2293854</v>
      </c>
      <c r="Q15" s="9">
        <v>-0.3776591</v>
      </c>
    </row>
    <row r="16">
      <c r="A16" s="1">
        <v>33.0</v>
      </c>
      <c r="B16" s="1">
        <v>-24.83943</v>
      </c>
      <c r="C16" s="1">
        <v>16.822683</v>
      </c>
      <c r="D16" s="1">
        <v>0.0</v>
      </c>
      <c r="E16" s="7">
        <f t="shared" si="1"/>
        <v>29.9999991</v>
      </c>
      <c r="F16" s="7">
        <f t="shared" si="2"/>
        <v>145.8918956</v>
      </c>
      <c r="H16" s="1">
        <v>1.0</v>
      </c>
      <c r="I16" s="7">
        <f t="shared" si="3"/>
        <v>-0.02478614793</v>
      </c>
      <c r="J16" s="7">
        <f t="shared" si="4"/>
        <v>-0.08762699761</v>
      </c>
      <c r="K16" s="7">
        <f t="shared" si="5"/>
        <v>-0.03142042484</v>
      </c>
      <c r="M16" s="1">
        <v>1.0</v>
      </c>
      <c r="N16" s="8">
        <v>33.0</v>
      </c>
      <c r="O16" s="9">
        <v>0.6354398</v>
      </c>
      <c r="P16" s="9">
        <v>0.1499441</v>
      </c>
      <c r="Q16" s="9">
        <v>-0.300276</v>
      </c>
    </row>
    <row r="17">
      <c r="A17" s="1">
        <v>34.0</v>
      </c>
      <c r="B17" s="1">
        <v>-26.359787</v>
      </c>
      <c r="C17" s="1">
        <v>14.323465</v>
      </c>
      <c r="D17" s="1">
        <v>0.0</v>
      </c>
      <c r="E17" s="7">
        <f t="shared" si="1"/>
        <v>30.00000034</v>
      </c>
      <c r="F17" s="7">
        <f t="shared" si="2"/>
        <v>151.4810869</v>
      </c>
      <c r="H17" s="1">
        <v>1.0</v>
      </c>
      <c r="I17" s="7">
        <f t="shared" si="3"/>
        <v>0.04890242751</v>
      </c>
      <c r="J17" s="7">
        <f t="shared" si="4"/>
        <v>0.08831852497</v>
      </c>
      <c r="K17" s="7">
        <f t="shared" si="5"/>
        <v>0.01970804873</v>
      </c>
      <c r="M17" s="1">
        <v>1.0</v>
      </c>
      <c r="N17" s="8">
        <v>34.0</v>
      </c>
      <c r="O17" s="9">
        <v>0.5711852</v>
      </c>
      <c r="P17" s="9">
        <v>0.08915562</v>
      </c>
      <c r="Q17" s="9">
        <v>-0.2238232</v>
      </c>
    </row>
    <row r="18">
      <c r="A18" s="1">
        <v>35.0</v>
      </c>
      <c r="B18" s="1">
        <v>-27.629501</v>
      </c>
      <c r="C18" s="1">
        <v>11.688054</v>
      </c>
      <c r="D18" s="1">
        <v>0.0</v>
      </c>
      <c r="E18" s="7">
        <f t="shared" si="1"/>
        <v>29.99999886</v>
      </c>
      <c r="F18" s="7">
        <f t="shared" si="2"/>
        <v>157.0702746</v>
      </c>
      <c r="H18" s="1">
        <v>1.0</v>
      </c>
      <c r="I18" s="7">
        <f t="shared" si="3"/>
        <v>-0.07283098237</v>
      </c>
      <c r="J18" s="7">
        <f t="shared" si="4"/>
        <v>-0.07284054982</v>
      </c>
      <c r="K18" s="7">
        <f t="shared" si="5"/>
        <v>-0.000004783721307</v>
      </c>
      <c r="M18" s="1">
        <v>1.0</v>
      </c>
      <c r="N18" s="8">
        <v>35.0</v>
      </c>
      <c r="O18" s="9">
        <v>0.4878816</v>
      </c>
      <c r="P18" s="9">
        <v>0.04639122</v>
      </c>
      <c r="Q18" s="9">
        <v>-0.1534091</v>
      </c>
    </row>
    <row r="19">
      <c r="A19" s="1">
        <v>36.0</v>
      </c>
      <c r="B19" s="1">
        <v>-28.636505</v>
      </c>
      <c r="C19" s="1">
        <v>8.941508</v>
      </c>
      <c r="D19" s="1">
        <v>0.0</v>
      </c>
      <c r="E19" s="7">
        <f t="shared" si="1"/>
        <v>29.99999973</v>
      </c>
      <c r="F19" s="7">
        <f t="shared" si="2"/>
        <v>162.6594646</v>
      </c>
      <c r="H19" s="1">
        <v>1.0</v>
      </c>
      <c r="I19" s="7">
        <f t="shared" si="3"/>
        <v>0.04788822995</v>
      </c>
      <c r="J19" s="7">
        <f t="shared" si="4"/>
        <v>0.08886918482</v>
      </c>
      <c r="K19" s="7">
        <f t="shared" si="5"/>
        <v>0.02049047743</v>
      </c>
      <c r="M19" s="1">
        <v>1.0</v>
      </c>
      <c r="N19" s="8">
        <v>36.0</v>
      </c>
      <c r="O19" s="9">
        <v>0.3882198</v>
      </c>
      <c r="P19" s="9">
        <v>0.01985414</v>
      </c>
      <c r="Q19" s="9">
        <v>-0.09332296</v>
      </c>
    </row>
    <row r="20">
      <c r="A20" s="1">
        <v>37.0</v>
      </c>
      <c r="B20" s="1">
        <v>-29.371222</v>
      </c>
      <c r="C20" s="1">
        <v>6.109943</v>
      </c>
      <c r="D20" s="1">
        <v>0.0</v>
      </c>
      <c r="E20" s="7">
        <f t="shared" si="1"/>
        <v>30.00000142</v>
      </c>
      <c r="F20" s="7">
        <f t="shared" si="2"/>
        <v>168.2486536</v>
      </c>
      <c r="H20" s="1">
        <v>1.0</v>
      </c>
      <c r="I20" s="7">
        <f t="shared" si="3"/>
        <v>-0.02473393548</v>
      </c>
      <c r="J20" s="7">
        <f t="shared" si="4"/>
        <v>-0.08680727621</v>
      </c>
      <c r="K20" s="7">
        <f t="shared" si="5"/>
        <v>-0.03103667037</v>
      </c>
      <c r="M20" s="1">
        <v>1.0</v>
      </c>
      <c r="N20" s="8">
        <v>37.0</v>
      </c>
      <c r="O20" s="9">
        <v>0.2756633</v>
      </c>
      <c r="P20" s="9">
        <v>0.005807151</v>
      </c>
      <c r="Q20" s="9">
        <v>-0.04684859</v>
      </c>
    </row>
    <row r="21">
      <c r="A21" s="1">
        <v>38.0</v>
      </c>
      <c r="B21" s="1">
        <v>-29.826662</v>
      </c>
      <c r="C21" s="1">
        <v>3.220281</v>
      </c>
      <c r="D21" s="1">
        <v>0.0</v>
      </c>
      <c r="E21" s="7">
        <f t="shared" si="1"/>
        <v>29.9999996</v>
      </c>
      <c r="F21" s="7">
        <f t="shared" si="2"/>
        <v>173.8378435</v>
      </c>
      <c r="H21" s="1">
        <v>1.0</v>
      </c>
      <c r="I21" s="7">
        <f t="shared" si="3"/>
        <v>0.03636988843</v>
      </c>
      <c r="J21" s="7">
        <f t="shared" si="4"/>
        <v>0.03665897946</v>
      </c>
      <c r="K21" s="7">
        <f t="shared" si="5"/>
        <v>0.0001445455138</v>
      </c>
      <c r="M21" s="1">
        <v>1.0</v>
      </c>
      <c r="N21" s="8">
        <v>38.0</v>
      </c>
      <c r="O21" s="9">
        <v>0.1533462</v>
      </c>
      <c r="P21" s="9">
        <v>0.001038379</v>
      </c>
      <c r="Q21" s="9">
        <v>-0.01614087</v>
      </c>
    </row>
    <row r="22">
      <c r="A22" s="1">
        <v>84.0</v>
      </c>
      <c r="B22" s="1">
        <v>-29.826662</v>
      </c>
      <c r="C22" s="1">
        <v>-3.220281</v>
      </c>
      <c r="D22" s="1">
        <v>0.0</v>
      </c>
      <c r="E22" s="7">
        <f t="shared" si="1"/>
        <v>29.9999996</v>
      </c>
      <c r="F22" s="7">
        <f t="shared" si="2"/>
        <v>-173.8378435</v>
      </c>
      <c r="H22" s="1">
        <v>1.0</v>
      </c>
      <c r="I22" s="7">
        <f t="shared" si="3"/>
        <v>0.03636988843</v>
      </c>
      <c r="J22" s="7">
        <f t="shared" si="4"/>
        <v>0.03665897946</v>
      </c>
      <c r="K22" s="7">
        <f t="shared" si="5"/>
        <v>0.0001445455138</v>
      </c>
      <c r="M22" s="1">
        <v>1.0</v>
      </c>
      <c r="N22" s="8">
        <v>84.0</v>
      </c>
      <c r="O22" s="9">
        <v>0.1503791</v>
      </c>
      <c r="P22" s="9">
        <v>-6.075928E-4</v>
      </c>
      <c r="Q22" s="9">
        <v>0.01620244</v>
      </c>
    </row>
    <row r="23">
      <c r="A23" s="1">
        <v>85.0</v>
      </c>
      <c r="B23" s="1">
        <v>-29.371222</v>
      </c>
      <c r="C23" s="1">
        <v>-6.109943</v>
      </c>
      <c r="D23" s="1">
        <v>0.0</v>
      </c>
      <c r="E23" s="7">
        <f t="shared" si="1"/>
        <v>30.00000142</v>
      </c>
      <c r="F23" s="7">
        <f t="shared" si="2"/>
        <v>-168.2486536</v>
      </c>
      <c r="H23" s="1">
        <v>1.0</v>
      </c>
      <c r="I23" s="7">
        <f t="shared" si="3"/>
        <v>-0.02473393548</v>
      </c>
      <c r="J23" s="7">
        <f t="shared" si="4"/>
        <v>-0.08680727621</v>
      </c>
      <c r="K23" s="7">
        <f t="shared" si="5"/>
        <v>-0.03103667037</v>
      </c>
      <c r="M23" s="1">
        <v>1.0</v>
      </c>
      <c r="N23" s="8">
        <v>85.0</v>
      </c>
      <c r="O23" s="9">
        <v>0.2737567</v>
      </c>
      <c r="P23" s="9">
        <v>0.004709693</v>
      </c>
      <c r="Q23" s="9">
        <v>0.04564155</v>
      </c>
    </row>
    <row r="24">
      <c r="A24" s="1">
        <v>86.0</v>
      </c>
      <c r="B24" s="1">
        <v>-28.636505</v>
      </c>
      <c r="C24" s="1">
        <v>-8.941508</v>
      </c>
      <c r="D24" s="1">
        <v>0.0</v>
      </c>
      <c r="E24" s="7">
        <f t="shared" si="1"/>
        <v>29.99999973</v>
      </c>
      <c r="F24" s="7">
        <f t="shared" si="2"/>
        <v>-162.6594646</v>
      </c>
      <c r="H24" s="1">
        <v>1.0</v>
      </c>
      <c r="I24" s="7">
        <f t="shared" si="3"/>
        <v>0.04788822995</v>
      </c>
      <c r="J24" s="7">
        <f t="shared" si="4"/>
        <v>0.08886918482</v>
      </c>
      <c r="K24" s="7">
        <f t="shared" si="5"/>
        <v>0.02049047743</v>
      </c>
      <c r="M24" s="1">
        <v>1.0</v>
      </c>
      <c r="N24" s="8">
        <v>86.0</v>
      </c>
      <c r="O24" s="9">
        <v>0.3872825</v>
      </c>
      <c r="P24" s="9">
        <v>0.02051139</v>
      </c>
      <c r="Q24" s="9">
        <v>0.09263018</v>
      </c>
    </row>
    <row r="25">
      <c r="A25" s="1">
        <v>87.0</v>
      </c>
      <c r="B25" s="1">
        <v>-27.629501</v>
      </c>
      <c r="C25" s="1">
        <v>-11.688054</v>
      </c>
      <c r="D25" s="1">
        <v>0.0</v>
      </c>
      <c r="E25" s="7">
        <f t="shared" si="1"/>
        <v>29.99999886</v>
      </c>
      <c r="F25" s="7">
        <f t="shared" si="2"/>
        <v>-157.0702746</v>
      </c>
      <c r="H25" s="1">
        <v>1.0</v>
      </c>
      <c r="I25" s="7">
        <f t="shared" si="3"/>
        <v>-0.07283098237</v>
      </c>
      <c r="J25" s="7">
        <f t="shared" si="4"/>
        <v>-0.07284054982</v>
      </c>
      <c r="K25" s="7">
        <f t="shared" si="5"/>
        <v>-0.000004783721307</v>
      </c>
      <c r="M25" s="1">
        <v>1.0</v>
      </c>
      <c r="N25" s="8">
        <v>87.0</v>
      </c>
      <c r="O25" s="9">
        <v>0.4894015</v>
      </c>
      <c r="P25" s="9">
        <v>0.04817254</v>
      </c>
      <c r="Q25" s="9">
        <v>0.1543046</v>
      </c>
    </row>
    <row r="26">
      <c r="A26" s="1">
        <v>88.0</v>
      </c>
      <c r="B26" s="1">
        <v>-26.359787</v>
      </c>
      <c r="C26" s="1">
        <v>-14.323465</v>
      </c>
      <c r="D26" s="1">
        <v>0.0</v>
      </c>
      <c r="E26" s="7">
        <f t="shared" si="1"/>
        <v>30.00000034</v>
      </c>
      <c r="F26" s="7">
        <f t="shared" si="2"/>
        <v>-151.4810869</v>
      </c>
      <c r="H26" s="1">
        <v>1.0</v>
      </c>
      <c r="I26" s="7">
        <f t="shared" si="3"/>
        <v>0.04890242751</v>
      </c>
      <c r="J26" s="7">
        <f t="shared" si="4"/>
        <v>0.08831852497</v>
      </c>
      <c r="K26" s="7">
        <f t="shared" si="5"/>
        <v>0.01970804873</v>
      </c>
      <c r="M26" s="1">
        <v>1.0</v>
      </c>
      <c r="N26" s="8">
        <v>88.0</v>
      </c>
      <c r="O26" s="9">
        <v>0.5719819</v>
      </c>
      <c r="P26" s="9">
        <v>0.08966398</v>
      </c>
      <c r="Q26" s="9">
        <v>0.223831</v>
      </c>
    </row>
    <row r="27">
      <c r="A27" s="1">
        <v>89.0</v>
      </c>
      <c r="B27" s="1">
        <v>-24.83943</v>
      </c>
      <c r="C27" s="1">
        <v>-16.822683</v>
      </c>
      <c r="D27" s="1">
        <v>0.0</v>
      </c>
      <c r="E27" s="7">
        <f t="shared" si="1"/>
        <v>29.9999991</v>
      </c>
      <c r="F27" s="7">
        <f t="shared" si="2"/>
        <v>-145.8918956</v>
      </c>
      <c r="H27" s="1">
        <v>1.0</v>
      </c>
      <c r="I27" s="7">
        <f t="shared" si="3"/>
        <v>-0.02478614793</v>
      </c>
      <c r="J27" s="7">
        <f t="shared" si="4"/>
        <v>-0.08762699761</v>
      </c>
      <c r="K27" s="7">
        <f t="shared" si="5"/>
        <v>-0.03142042484</v>
      </c>
      <c r="M27" s="1">
        <v>1.0</v>
      </c>
      <c r="N27" s="8">
        <v>89.0</v>
      </c>
      <c r="O27" s="9">
        <v>0.6359397</v>
      </c>
      <c r="P27" s="9">
        <v>0.1499656</v>
      </c>
      <c r="Q27" s="9">
        <v>0.3002026</v>
      </c>
    </row>
    <row r="28">
      <c r="A28" s="1">
        <v>90.0</v>
      </c>
      <c r="B28" s="1">
        <v>-23.082891</v>
      </c>
      <c r="C28" s="1">
        <v>-19.161945</v>
      </c>
      <c r="D28" s="1">
        <v>0.0</v>
      </c>
      <c r="E28" s="7">
        <f t="shared" si="1"/>
        <v>29.99999989</v>
      </c>
      <c r="F28" s="7">
        <f t="shared" si="2"/>
        <v>-140.3027043</v>
      </c>
      <c r="H28" s="1">
        <v>1.0</v>
      </c>
      <c r="I28" s="7">
        <f t="shared" si="3"/>
        <v>0.03606033294</v>
      </c>
      <c r="J28" s="7">
        <f t="shared" si="4"/>
        <v>0.03814495144</v>
      </c>
      <c r="K28" s="7">
        <f t="shared" si="5"/>
        <v>0.001042309252</v>
      </c>
      <c r="M28" s="1">
        <v>1.0</v>
      </c>
      <c r="N28" s="8">
        <v>90.0</v>
      </c>
      <c r="O28" s="9">
        <v>0.6801622</v>
      </c>
      <c r="P28" s="9">
        <v>0.229325</v>
      </c>
      <c r="Q28" s="9">
        <v>0.3773944</v>
      </c>
    </row>
    <row r="29">
      <c r="A29" s="1">
        <v>91.0</v>
      </c>
      <c r="B29" s="1">
        <v>-21.106871</v>
      </c>
      <c r="C29" s="1">
        <v>-21.319006</v>
      </c>
      <c r="D29" s="1">
        <v>0.0</v>
      </c>
      <c r="E29" s="7">
        <f t="shared" si="1"/>
        <v>30.00000034</v>
      </c>
      <c r="F29" s="7">
        <f t="shared" si="2"/>
        <v>-134.7135159</v>
      </c>
      <c r="H29" s="1">
        <v>1.0</v>
      </c>
      <c r="I29" s="7">
        <f t="shared" si="3"/>
        <v>-0.02485906524</v>
      </c>
      <c r="J29" s="7">
        <f t="shared" si="4"/>
        <v>-0.002292609393</v>
      </c>
      <c r="K29" s="7">
        <f t="shared" si="5"/>
        <v>0.01128322792</v>
      </c>
      <c r="M29" s="1">
        <v>1.0</v>
      </c>
      <c r="N29" s="8">
        <v>91.0</v>
      </c>
      <c r="O29" s="9">
        <v>0.7037216</v>
      </c>
      <c r="P29" s="9">
        <v>0.3278179</v>
      </c>
      <c r="Q29" s="9">
        <v>0.4517253</v>
      </c>
    </row>
    <row r="30">
      <c r="A30" s="1">
        <v>92.0</v>
      </c>
      <c r="B30" s="1">
        <v>-18.930157</v>
      </c>
      <c r="C30" s="1">
        <v>-23.273357</v>
      </c>
      <c r="D30" s="1">
        <v>0.0</v>
      </c>
      <c r="E30" s="7">
        <f t="shared" si="1"/>
        <v>29.99999983</v>
      </c>
      <c r="F30" s="7">
        <f t="shared" si="2"/>
        <v>-129.1243261</v>
      </c>
      <c r="H30" s="1">
        <v>1.0</v>
      </c>
      <c r="I30" s="7">
        <f t="shared" si="3"/>
        <v>-0.02170846143</v>
      </c>
      <c r="J30" s="7">
        <f t="shared" si="4"/>
        <v>-0.001429972632</v>
      </c>
      <c r="K30" s="7">
        <f t="shared" si="5"/>
        <v>0.0101392444</v>
      </c>
      <c r="M30" s="1">
        <v>1.0</v>
      </c>
      <c r="N30" s="8">
        <v>92.0</v>
      </c>
      <c r="O30" s="9">
        <v>0.7084818</v>
      </c>
      <c r="P30" s="9">
        <v>0.4433372</v>
      </c>
      <c r="Q30" s="9">
        <v>0.5174746</v>
      </c>
    </row>
    <row r="31">
      <c r="A31" s="1">
        <v>93.0</v>
      </c>
      <c r="B31" s="1">
        <v>-16.573448</v>
      </c>
      <c r="C31" s="1">
        <v>-25.006416</v>
      </c>
      <c r="D31" s="1">
        <v>0.0</v>
      </c>
      <c r="E31" s="7">
        <f t="shared" si="1"/>
        <v>30.00000033</v>
      </c>
      <c r="F31" s="7">
        <f t="shared" si="2"/>
        <v>-123.5351365</v>
      </c>
      <c r="H31" s="1">
        <v>1.0</v>
      </c>
      <c r="I31" s="7">
        <f t="shared" si="3"/>
        <v>0.03691840325</v>
      </c>
      <c r="J31" s="7">
        <f t="shared" si="4"/>
        <v>0.03375196061</v>
      </c>
      <c r="K31" s="7">
        <f t="shared" si="5"/>
        <v>-0.001583221321</v>
      </c>
      <c r="M31" s="1">
        <v>1.0</v>
      </c>
      <c r="N31" s="8">
        <v>93.0</v>
      </c>
      <c r="O31" s="9">
        <v>0.6958126</v>
      </c>
      <c r="P31" s="9">
        <v>0.5738536</v>
      </c>
      <c r="Q31" s="9">
        <v>0.5708644</v>
      </c>
    </row>
    <row r="32">
      <c r="A32" s="1">
        <v>94.0</v>
      </c>
      <c r="B32" s="1">
        <v>-14.059152</v>
      </c>
      <c r="C32" s="1">
        <v>-26.501703</v>
      </c>
      <c r="D32" s="1">
        <v>0.0</v>
      </c>
      <c r="E32" s="7">
        <f t="shared" si="1"/>
        <v>30.00000028</v>
      </c>
      <c r="F32" s="7">
        <f t="shared" si="2"/>
        <v>-117.9459481</v>
      </c>
      <c r="H32" s="1">
        <v>1.0</v>
      </c>
      <c r="I32" s="7">
        <f t="shared" si="3"/>
        <v>-0.02472977866</v>
      </c>
      <c r="J32" s="7">
        <f t="shared" si="4"/>
        <v>-0.08504836314</v>
      </c>
      <c r="K32" s="7">
        <f t="shared" si="5"/>
        <v>-0.03015929224</v>
      </c>
      <c r="M32" s="1">
        <v>1.0</v>
      </c>
      <c r="N32" s="8">
        <v>94.0</v>
      </c>
      <c r="O32" s="9">
        <v>0.6695034</v>
      </c>
      <c r="P32" s="9">
        <v>0.7156793</v>
      </c>
      <c r="Q32" s="9">
        <v>0.6083647</v>
      </c>
    </row>
    <row r="33">
      <c r="A33" s="1">
        <v>95.0</v>
      </c>
      <c r="B33" s="1">
        <v>-11.411175</v>
      </c>
      <c r="C33" s="1">
        <v>-27.745001</v>
      </c>
      <c r="D33" s="1">
        <v>0.0</v>
      </c>
      <c r="E33" s="7">
        <f t="shared" si="1"/>
        <v>29.99999992</v>
      </c>
      <c r="F33" s="7">
        <f t="shared" si="2"/>
        <v>-112.3567581</v>
      </c>
      <c r="H33" s="1">
        <v>1.0</v>
      </c>
      <c r="I33" s="7">
        <f t="shared" si="3"/>
        <v>0.04588141059</v>
      </c>
      <c r="J33" s="7">
        <f t="shared" si="4"/>
        <v>0.08991841302</v>
      </c>
      <c r="K33" s="7">
        <f t="shared" si="5"/>
        <v>0.02201850122</v>
      </c>
      <c r="M33" s="1">
        <v>1.0</v>
      </c>
      <c r="N33" s="8">
        <v>95.0</v>
      </c>
      <c r="O33" s="9">
        <v>0.6326712</v>
      </c>
      <c r="P33" s="9">
        <v>0.8646439</v>
      </c>
      <c r="Q33" s="9">
        <v>0.6269899</v>
      </c>
    </row>
    <row r="34">
      <c r="A34" s="1">
        <v>96.0</v>
      </c>
      <c r="B34" s="1">
        <v>-8.654696</v>
      </c>
      <c r="C34" s="1">
        <v>-28.724489</v>
      </c>
      <c r="D34" s="1">
        <v>0.0</v>
      </c>
      <c r="E34" s="7">
        <f t="shared" si="1"/>
        <v>30.00000052</v>
      </c>
      <c r="F34" s="7">
        <f t="shared" si="2"/>
        <v>-106.7675678</v>
      </c>
      <c r="H34" s="1">
        <v>1.0</v>
      </c>
      <c r="I34" s="7">
        <f t="shared" si="3"/>
        <v>-0.07269840827</v>
      </c>
      <c r="J34" s="7">
        <f t="shared" si="4"/>
        <v>-0.07293520397</v>
      </c>
      <c r="K34" s="7">
        <f t="shared" si="5"/>
        <v>-0.0001183978504</v>
      </c>
      <c r="M34" s="1">
        <v>1.0</v>
      </c>
      <c r="N34" s="8">
        <v>96.0</v>
      </c>
      <c r="O34" s="9">
        <v>0.5907592</v>
      </c>
      <c r="P34" s="9">
        <v>1.014977</v>
      </c>
      <c r="Q34" s="9">
        <v>0.6253162</v>
      </c>
    </row>
    <row r="35">
      <c r="A35" s="1">
        <v>97.0</v>
      </c>
      <c r="B35" s="1">
        <v>-5.815925</v>
      </c>
      <c r="C35" s="1">
        <v>-29.430851</v>
      </c>
      <c r="D35" s="1">
        <v>0.0</v>
      </c>
      <c r="E35" s="7">
        <f t="shared" si="1"/>
        <v>29.99999957</v>
      </c>
      <c r="F35" s="7">
        <f t="shared" si="2"/>
        <v>-101.1783792</v>
      </c>
      <c r="H35" s="1">
        <v>1.0</v>
      </c>
      <c r="I35" s="7">
        <f t="shared" si="3"/>
        <v>0.05092126254</v>
      </c>
      <c r="J35" s="7">
        <f t="shared" si="4"/>
        <v>0.08718600242</v>
      </c>
      <c r="K35" s="7">
        <f t="shared" si="5"/>
        <v>0.01813236994</v>
      </c>
      <c r="M35" s="1">
        <v>1.0</v>
      </c>
      <c r="N35" s="8">
        <v>97.0</v>
      </c>
      <c r="O35" s="9">
        <v>0.5480095</v>
      </c>
      <c r="P35" s="9">
        <v>1.162911</v>
      </c>
      <c r="Q35" s="9">
        <v>0.6031874</v>
      </c>
    </row>
    <row r="36">
      <c r="A36" s="1">
        <v>98.0</v>
      </c>
      <c r="B36" s="1">
        <v>-2.921854</v>
      </c>
      <c r="C36" s="1">
        <v>-29.857374</v>
      </c>
      <c r="D36" s="1">
        <v>0.0</v>
      </c>
      <c r="E36" s="7">
        <f t="shared" si="1"/>
        <v>30.00000022</v>
      </c>
      <c r="F36" s="7">
        <f t="shared" si="2"/>
        <v>-95.58919024</v>
      </c>
      <c r="H36" s="1">
        <v>1.0</v>
      </c>
      <c r="I36" s="7">
        <f t="shared" si="3"/>
        <v>-0.02499249133</v>
      </c>
      <c r="J36" s="7">
        <f t="shared" si="4"/>
        <v>-0.08912542686</v>
      </c>
      <c r="K36" s="7">
        <f t="shared" si="5"/>
        <v>-0.03206646777</v>
      </c>
      <c r="M36" s="1">
        <v>1.0</v>
      </c>
      <c r="N36" s="8">
        <v>98.0</v>
      </c>
      <c r="O36" s="9">
        <v>0.5092202</v>
      </c>
      <c r="P36" s="9">
        <v>1.303717</v>
      </c>
      <c r="Q36" s="9">
        <v>0.5612749</v>
      </c>
    </row>
    <row r="37">
      <c r="A37" s="1">
        <v>99.0</v>
      </c>
      <c r="B37" s="1">
        <v>2.940514</v>
      </c>
      <c r="C37" s="1">
        <v>-29.855541</v>
      </c>
      <c r="D37" s="1">
        <v>0.0</v>
      </c>
      <c r="E37" s="7">
        <f t="shared" si="1"/>
        <v>29.99999918</v>
      </c>
      <c r="F37" s="7">
        <f t="shared" si="2"/>
        <v>-84.37500025</v>
      </c>
      <c r="H37" s="1">
        <v>1.0</v>
      </c>
      <c r="I37" s="7">
        <f t="shared" si="3"/>
        <v>-0.02852458948</v>
      </c>
      <c r="J37" s="7">
        <f t="shared" si="4"/>
        <v>-0.003834093474</v>
      </c>
      <c r="K37" s="7">
        <f t="shared" si="5"/>
        <v>0.012345248</v>
      </c>
      <c r="M37" s="1">
        <v>1.0</v>
      </c>
      <c r="N37" s="8">
        <v>99.0</v>
      </c>
      <c r="O37" s="9">
        <v>0.4602656</v>
      </c>
      <c r="P37" s="9">
        <v>1.550266</v>
      </c>
      <c r="Q37" s="9">
        <v>0.4241888</v>
      </c>
    </row>
    <row r="38">
      <c r="A38" s="1">
        <v>100.0</v>
      </c>
      <c r="B38" s="1">
        <v>5.85271</v>
      </c>
      <c r="C38" s="1">
        <v>-29.423559</v>
      </c>
      <c r="D38" s="1">
        <v>0.0</v>
      </c>
      <c r="E38" s="7">
        <f t="shared" si="1"/>
        <v>30.00000064</v>
      </c>
      <c r="F38" s="7">
        <f t="shared" si="2"/>
        <v>-78.74999958</v>
      </c>
      <c r="H38" s="1">
        <v>1.0</v>
      </c>
      <c r="I38" s="7">
        <f t="shared" si="3"/>
        <v>-0.01486419809</v>
      </c>
      <c r="J38" s="7">
        <f t="shared" si="4"/>
        <v>-0.0004166626977</v>
      </c>
      <c r="K38" s="7">
        <f t="shared" si="5"/>
        <v>0.007223767697</v>
      </c>
      <c r="M38" s="1">
        <v>1.0</v>
      </c>
      <c r="N38" s="8">
        <v>100.0</v>
      </c>
      <c r="O38" s="9">
        <v>0.4581029</v>
      </c>
      <c r="P38" s="9">
        <v>1.645923</v>
      </c>
      <c r="Q38" s="9">
        <v>0.3356621</v>
      </c>
    </row>
    <row r="39">
      <c r="A39" s="1">
        <v>101.0</v>
      </c>
      <c r="B39" s="1">
        <v>8.70854</v>
      </c>
      <c r="C39" s="1">
        <v>-28.70821</v>
      </c>
      <c r="D39" s="1">
        <v>0.0</v>
      </c>
      <c r="E39" s="7">
        <f t="shared" si="1"/>
        <v>29.99999984</v>
      </c>
      <c r="F39" s="7">
        <f t="shared" si="2"/>
        <v>-73.12500054</v>
      </c>
      <c r="H39" s="1">
        <v>1.0</v>
      </c>
      <c r="I39" s="7">
        <f t="shared" si="3"/>
        <v>0.03800751056</v>
      </c>
      <c r="J39" s="7">
        <f t="shared" si="4"/>
        <v>0.02327293954</v>
      </c>
      <c r="K39" s="7">
        <f t="shared" si="5"/>
        <v>-0.007367285508</v>
      </c>
      <c r="M39" s="1">
        <v>1.0</v>
      </c>
      <c r="N39" s="8">
        <v>101.0</v>
      </c>
      <c r="O39" s="9">
        <v>0.4738136</v>
      </c>
      <c r="P39" s="9">
        <v>1.719327</v>
      </c>
      <c r="Q39" s="9">
        <v>0.2393269</v>
      </c>
    </row>
    <row r="40">
      <c r="A40" s="1">
        <v>102.0</v>
      </c>
      <c r="B40" s="1">
        <v>11.480503</v>
      </c>
      <c r="C40" s="1">
        <v>-27.716387</v>
      </c>
      <c r="D40" s="1">
        <v>0.0</v>
      </c>
      <c r="E40" s="7">
        <f t="shared" si="1"/>
        <v>30.00000096</v>
      </c>
      <c r="F40" s="7">
        <f t="shared" si="2"/>
        <v>-67.5000007</v>
      </c>
      <c r="H40" s="1">
        <v>1.0</v>
      </c>
      <c r="I40" s="7">
        <f t="shared" si="3"/>
        <v>-0.02638764913</v>
      </c>
      <c r="J40" s="7">
        <f t="shared" si="4"/>
        <v>-0.07431521568</v>
      </c>
      <c r="K40" s="7">
        <f t="shared" si="5"/>
        <v>-0.02396378327</v>
      </c>
      <c r="M40" s="1">
        <v>1.0</v>
      </c>
      <c r="N40" s="8">
        <v>102.0</v>
      </c>
      <c r="O40" s="9">
        <v>0.5087897</v>
      </c>
      <c r="P40" s="9">
        <v>1.768951</v>
      </c>
      <c r="Q40" s="9">
        <v>0.14032</v>
      </c>
    </row>
    <row r="41">
      <c r="A41" s="1">
        <v>103.0</v>
      </c>
      <c r="B41" s="1">
        <v>14.141902</v>
      </c>
      <c r="C41" s="1">
        <v>-26.457638</v>
      </c>
      <c r="D41" s="1">
        <v>0.0</v>
      </c>
      <c r="E41" s="7">
        <f t="shared" si="1"/>
        <v>30.00000001</v>
      </c>
      <c r="F41" s="7">
        <f t="shared" si="2"/>
        <v>-61.87500024</v>
      </c>
      <c r="H41" s="1">
        <v>1.0</v>
      </c>
      <c r="I41" s="7">
        <f t="shared" si="3"/>
        <v>0.03516376155</v>
      </c>
      <c r="J41" s="7">
        <f t="shared" si="4"/>
        <v>0.09415325296</v>
      </c>
      <c r="K41" s="7">
        <f t="shared" si="5"/>
        <v>0.02949474571</v>
      </c>
      <c r="M41" s="1">
        <v>1.0</v>
      </c>
      <c r="N41" s="8">
        <v>103.0</v>
      </c>
      <c r="O41" s="9">
        <v>0.5623581</v>
      </c>
      <c r="P41" s="9">
        <v>1.794269</v>
      </c>
      <c r="Q41" s="9">
        <v>0.04394602</v>
      </c>
    </row>
    <row r="42">
      <c r="A42" s="1">
        <v>104.0</v>
      </c>
      <c r="B42" s="1">
        <v>16.667107</v>
      </c>
      <c r="C42" s="1">
        <v>-24.944088</v>
      </c>
      <c r="D42" s="1">
        <v>0.0</v>
      </c>
      <c r="E42" s="7">
        <f t="shared" si="1"/>
        <v>29.9999997</v>
      </c>
      <c r="F42" s="7">
        <f t="shared" si="2"/>
        <v>-56.24999959</v>
      </c>
      <c r="H42" s="1">
        <v>1.0</v>
      </c>
      <c r="I42" s="7">
        <f t="shared" si="3"/>
        <v>-0.0673841173</v>
      </c>
      <c r="J42" s="7">
        <f t="shared" si="4"/>
        <v>-0.07666771978</v>
      </c>
      <c r="K42" s="7">
        <f t="shared" si="5"/>
        <v>-0.004641801239</v>
      </c>
      <c r="M42" s="1">
        <v>1.0</v>
      </c>
      <c r="N42" s="8">
        <v>104.0</v>
      </c>
      <c r="O42" s="9">
        <v>0.6335904</v>
      </c>
      <c r="P42" s="9">
        <v>1.796766</v>
      </c>
      <c r="Q42" s="9">
        <v>-0.04484134</v>
      </c>
    </row>
    <row r="43">
      <c r="A43" s="1">
        <v>105.0</v>
      </c>
      <c r="B43" s="1">
        <v>19.031799</v>
      </c>
      <c r="C43" s="1">
        <v>-23.190313</v>
      </c>
      <c r="D43" s="1">
        <v>0.0</v>
      </c>
      <c r="E43" s="7">
        <f t="shared" si="1"/>
        <v>29.99999984</v>
      </c>
      <c r="F43" s="7">
        <f t="shared" si="2"/>
        <v>-50.62499857</v>
      </c>
      <c r="H43" s="1">
        <v>1.0</v>
      </c>
      <c r="I43" s="7">
        <f t="shared" si="3"/>
        <v>0.06508343894</v>
      </c>
      <c r="J43" s="7">
        <f t="shared" si="4"/>
        <v>0.07824245142</v>
      </c>
      <c r="K43" s="7">
        <f t="shared" si="5"/>
        <v>0.006579506242</v>
      </c>
      <c r="M43" s="1">
        <v>1.0</v>
      </c>
      <c r="N43" s="8">
        <v>105.0</v>
      </c>
      <c r="O43" s="9">
        <v>0.7192135</v>
      </c>
      <c r="P43" s="9">
        <v>1.778498</v>
      </c>
      <c r="Q43" s="9">
        <v>-0.121288</v>
      </c>
    </row>
    <row r="44">
      <c r="A44" s="1">
        <v>106.0</v>
      </c>
      <c r="B44" s="1">
        <v>21.213203</v>
      </c>
      <c r="C44" s="1">
        <v>-21.213203</v>
      </c>
      <c r="D44" s="1">
        <v>0.0</v>
      </c>
      <c r="E44" s="7">
        <f t="shared" si="1"/>
        <v>29.99999938</v>
      </c>
      <c r="F44" s="7">
        <f t="shared" si="2"/>
        <v>-45</v>
      </c>
      <c r="H44" s="1">
        <v>1.0</v>
      </c>
      <c r="I44" s="7">
        <f t="shared" si="3"/>
        <v>-0.03265038707</v>
      </c>
      <c r="J44" s="7">
        <f t="shared" si="4"/>
        <v>-0.09456662943</v>
      </c>
      <c r="K44" s="7">
        <f t="shared" si="5"/>
        <v>-0.03095812118</v>
      </c>
      <c r="M44" s="1">
        <v>1.0</v>
      </c>
      <c r="N44" s="8">
        <v>106.0</v>
      </c>
      <c r="O44" s="9">
        <v>0.8161165</v>
      </c>
      <c r="P44" s="9">
        <v>1.743119</v>
      </c>
      <c r="Q44" s="9">
        <v>-0.1816923</v>
      </c>
    </row>
    <row r="45">
      <c r="A45" s="1">
        <v>107.0</v>
      </c>
      <c r="B45" s="1">
        <v>23.190313</v>
      </c>
      <c r="C45" s="1">
        <v>-19.031799</v>
      </c>
      <c r="D45" s="1">
        <v>0.0</v>
      </c>
      <c r="E45" s="7">
        <f t="shared" si="1"/>
        <v>29.99999984</v>
      </c>
      <c r="F45" s="7">
        <f t="shared" si="2"/>
        <v>-39.37500143</v>
      </c>
      <c r="H45" s="1">
        <v>1.0</v>
      </c>
      <c r="I45" s="7">
        <f t="shared" si="3"/>
        <v>0.02745545645</v>
      </c>
      <c r="J45" s="7">
        <f t="shared" si="4"/>
        <v>0.06999867087</v>
      </c>
      <c r="K45" s="7">
        <f t="shared" si="5"/>
        <v>0.02127160721</v>
      </c>
      <c r="M45" s="1">
        <v>1.0</v>
      </c>
      <c r="N45" s="8">
        <v>107.0</v>
      </c>
      <c r="O45" s="9">
        <v>0.9191252</v>
      </c>
      <c r="P45" s="9">
        <v>1.694788</v>
      </c>
      <c r="Q45" s="9">
        <v>-0.2230229</v>
      </c>
    </row>
    <row r="46">
      <c r="A46" s="1">
        <v>108.0</v>
      </c>
      <c r="B46" s="1">
        <v>24.944088</v>
      </c>
      <c r="C46" s="1">
        <v>-16.667107</v>
      </c>
      <c r="D46" s="1">
        <v>0.0</v>
      </c>
      <c r="E46" s="7">
        <f t="shared" si="1"/>
        <v>29.9999997</v>
      </c>
      <c r="F46" s="7">
        <f t="shared" si="2"/>
        <v>-33.75000041</v>
      </c>
      <c r="H46" s="1">
        <v>1.0</v>
      </c>
      <c r="I46" s="7">
        <f t="shared" si="3"/>
        <v>-0.03787409457</v>
      </c>
      <c r="J46" s="7">
        <f t="shared" si="4"/>
        <v>-0.01935770212</v>
      </c>
      <c r="K46" s="7">
        <f t="shared" si="5"/>
        <v>0.009258196225</v>
      </c>
      <c r="M46" s="1">
        <v>1.0</v>
      </c>
      <c r="N46" s="8">
        <v>108.0</v>
      </c>
      <c r="O46" s="9">
        <v>1.023673</v>
      </c>
      <c r="P46" s="9">
        <v>1.638436</v>
      </c>
      <c r="Q46" s="9">
        <v>-0.2437467</v>
      </c>
    </row>
    <row r="47">
      <c r="A47" s="1">
        <v>109.0</v>
      </c>
      <c r="B47" s="1">
        <v>26.457638</v>
      </c>
      <c r="C47" s="1">
        <v>-14.141902</v>
      </c>
      <c r="D47" s="1">
        <v>0.0</v>
      </c>
      <c r="E47" s="7">
        <f t="shared" si="1"/>
        <v>30.00000001</v>
      </c>
      <c r="F47" s="7">
        <f t="shared" si="2"/>
        <v>-28.12499976</v>
      </c>
      <c r="H47" s="1">
        <v>1.0</v>
      </c>
      <c r="I47" s="7">
        <f t="shared" si="3"/>
        <v>0.01071637252</v>
      </c>
      <c r="J47" s="7">
        <f t="shared" si="4"/>
        <v>0.0001505074576</v>
      </c>
      <c r="K47" s="7">
        <f t="shared" si="5"/>
        <v>-0.00528293253</v>
      </c>
      <c r="M47" s="1">
        <v>1.0</v>
      </c>
      <c r="N47" s="8">
        <v>109.0</v>
      </c>
      <c r="O47" s="9">
        <v>1.123837</v>
      </c>
      <c r="P47" s="9">
        <v>1.579281</v>
      </c>
      <c r="Q47" s="9">
        <v>-0.2433634</v>
      </c>
    </row>
    <row r="48">
      <c r="A48" s="1">
        <v>110.0</v>
      </c>
      <c r="B48" s="1">
        <v>27.716387</v>
      </c>
      <c r="C48" s="1">
        <v>-11.480503</v>
      </c>
      <c r="D48" s="1">
        <v>0.0</v>
      </c>
      <c r="E48" s="7">
        <f t="shared" si="1"/>
        <v>30.00000096</v>
      </c>
      <c r="F48" s="7">
        <f t="shared" si="2"/>
        <v>-22.4999993</v>
      </c>
      <c r="H48" s="1">
        <v>1.0</v>
      </c>
      <c r="I48" s="7">
        <f t="shared" si="3"/>
        <v>0.03115213823</v>
      </c>
      <c r="J48" s="7">
        <f t="shared" si="4"/>
        <v>0.005512229627</v>
      </c>
      <c r="K48" s="7">
        <f t="shared" si="5"/>
        <v>-0.0128199543</v>
      </c>
      <c r="M48" s="1">
        <v>1.0</v>
      </c>
      <c r="N48" s="8">
        <v>110.0</v>
      </c>
      <c r="O48" s="9">
        <v>1.214737</v>
      </c>
      <c r="P48" s="9">
        <v>1.522361</v>
      </c>
      <c r="Q48" s="9">
        <v>-0.2228946</v>
      </c>
    </row>
    <row r="49">
      <c r="A49" s="1">
        <v>111.0</v>
      </c>
      <c r="B49" s="1">
        <v>28.70821</v>
      </c>
      <c r="C49" s="1">
        <v>-8.70854</v>
      </c>
      <c r="D49" s="1">
        <v>0.0</v>
      </c>
      <c r="E49" s="7">
        <f t="shared" si="1"/>
        <v>29.99999984</v>
      </c>
      <c r="F49" s="7">
        <f t="shared" si="2"/>
        <v>-16.87499946</v>
      </c>
      <c r="H49" s="1">
        <v>1.0</v>
      </c>
      <c r="I49" s="7">
        <f t="shared" si="3"/>
        <v>-0.03414256577</v>
      </c>
      <c r="J49" s="7">
        <f t="shared" si="4"/>
        <v>-0.04611797887</v>
      </c>
      <c r="K49" s="7">
        <f t="shared" si="5"/>
        <v>-0.005987706549</v>
      </c>
      <c r="M49" s="1">
        <v>1.0</v>
      </c>
      <c r="N49" s="8">
        <v>111.0</v>
      </c>
      <c r="O49" s="9">
        <v>1.291072</v>
      </c>
      <c r="P49" s="9">
        <v>1.472537</v>
      </c>
      <c r="Q49" s="9">
        <v>-0.1845117</v>
      </c>
    </row>
    <row r="50">
      <c r="A50" s="1">
        <v>112.0</v>
      </c>
      <c r="B50" s="1">
        <v>29.423559</v>
      </c>
      <c r="C50" s="1">
        <v>-5.85271</v>
      </c>
      <c r="D50" s="1">
        <v>0.0</v>
      </c>
      <c r="E50" s="7">
        <f t="shared" si="1"/>
        <v>30.00000064</v>
      </c>
      <c r="F50" s="7">
        <f t="shared" si="2"/>
        <v>-11.25000042</v>
      </c>
      <c r="H50" s="1">
        <v>1.0</v>
      </c>
      <c r="I50" s="7">
        <f t="shared" si="3"/>
        <v>0.02520947081</v>
      </c>
      <c r="J50" s="7">
        <f t="shared" si="4"/>
        <v>0.09003307196</v>
      </c>
      <c r="K50" s="7">
        <f t="shared" si="5"/>
        <v>0.03241180057</v>
      </c>
      <c r="M50" s="1">
        <v>1.0</v>
      </c>
      <c r="N50" s="8">
        <v>112.0</v>
      </c>
      <c r="O50" s="9">
        <v>1.348965</v>
      </c>
      <c r="P50" s="9">
        <v>1.433736</v>
      </c>
      <c r="Q50" s="9">
        <v>-0.1316019</v>
      </c>
    </row>
    <row r="51">
      <c r="A51" s="1">
        <v>113.0</v>
      </c>
      <c r="B51" s="1">
        <v>29.855541</v>
      </c>
      <c r="C51" s="1">
        <v>-2.940514</v>
      </c>
      <c r="D51" s="1">
        <v>0.0</v>
      </c>
      <c r="E51" s="7">
        <f t="shared" si="1"/>
        <v>29.99999918</v>
      </c>
      <c r="F51" s="7">
        <f t="shared" si="2"/>
        <v>-5.624999751</v>
      </c>
      <c r="H51" s="1">
        <v>1.0</v>
      </c>
      <c r="I51" s="7">
        <f t="shared" si="3"/>
        <v>-0.05033752347</v>
      </c>
      <c r="J51" s="7">
        <f t="shared" si="4"/>
        <v>-0.0875181902</v>
      </c>
      <c r="K51" s="7">
        <f t="shared" si="5"/>
        <v>-0.01859033336</v>
      </c>
      <c r="M51" s="1">
        <v>1.0</v>
      </c>
      <c r="N51" s="8">
        <v>113.0</v>
      </c>
      <c r="O51" s="9">
        <v>1.384959</v>
      </c>
      <c r="P51" s="9">
        <v>1.409209</v>
      </c>
      <c r="Q51" s="9">
        <v>-0.06844971</v>
      </c>
    </row>
    <row r="52">
      <c r="A52" s="1">
        <v>114.0</v>
      </c>
      <c r="B52" s="1">
        <v>29.855541</v>
      </c>
      <c r="C52" s="1">
        <v>2.940514</v>
      </c>
      <c r="D52" s="1">
        <v>0.0</v>
      </c>
      <c r="E52" s="7">
        <f t="shared" si="1"/>
        <v>29.99999918</v>
      </c>
      <c r="F52" s="7">
        <f t="shared" si="2"/>
        <v>5.624999751</v>
      </c>
      <c r="H52" s="1">
        <v>1.0</v>
      </c>
      <c r="I52" s="7">
        <f t="shared" si="3"/>
        <v>-0.05033752347</v>
      </c>
      <c r="J52" s="7">
        <f t="shared" si="4"/>
        <v>-0.0875181902</v>
      </c>
      <c r="K52" s="7">
        <f t="shared" si="5"/>
        <v>-0.01859033336</v>
      </c>
      <c r="M52" s="1">
        <v>1.0</v>
      </c>
      <c r="N52" s="8">
        <v>114.0</v>
      </c>
      <c r="O52" s="9">
        <v>1.384975</v>
      </c>
      <c r="P52" s="9">
        <v>1.409208</v>
      </c>
      <c r="Q52" s="9">
        <v>0.06843214</v>
      </c>
    </row>
    <row r="53">
      <c r="A53" s="1">
        <v>115.0</v>
      </c>
      <c r="B53" s="1">
        <v>29.423559</v>
      </c>
      <c r="C53" s="1">
        <v>5.85271</v>
      </c>
      <c r="D53" s="1">
        <v>0.0</v>
      </c>
      <c r="E53" s="7">
        <f t="shared" si="1"/>
        <v>30.00000064</v>
      </c>
      <c r="F53" s="7">
        <f t="shared" si="2"/>
        <v>11.25000042</v>
      </c>
      <c r="H53" s="1">
        <v>1.0</v>
      </c>
      <c r="I53" s="7">
        <f t="shared" si="3"/>
        <v>0.02520947081</v>
      </c>
      <c r="J53" s="7">
        <f t="shared" si="4"/>
        <v>0.09003307196</v>
      </c>
      <c r="K53" s="7">
        <f t="shared" si="5"/>
        <v>0.03241180057</v>
      </c>
      <c r="M53" s="1">
        <v>1.0</v>
      </c>
      <c r="N53" s="8">
        <v>115.0</v>
      </c>
      <c r="O53" s="9">
        <v>1.348997</v>
      </c>
      <c r="P53" s="9">
        <v>1.433736</v>
      </c>
      <c r="Q53" s="9">
        <v>0.1315864</v>
      </c>
    </row>
    <row r="54">
      <c r="A54" s="1">
        <v>116.0</v>
      </c>
      <c r="B54" s="1">
        <v>28.70821</v>
      </c>
      <c r="C54" s="1">
        <v>8.70854</v>
      </c>
      <c r="D54" s="1">
        <v>0.0</v>
      </c>
      <c r="E54" s="7">
        <f t="shared" si="1"/>
        <v>29.99999984</v>
      </c>
      <c r="F54" s="7">
        <f t="shared" si="2"/>
        <v>16.87499946</v>
      </c>
      <c r="H54" s="1">
        <v>1.0</v>
      </c>
      <c r="I54" s="7">
        <f t="shared" si="3"/>
        <v>-0.03414256577</v>
      </c>
      <c r="J54" s="7">
        <f t="shared" si="4"/>
        <v>-0.04611797887</v>
      </c>
      <c r="K54" s="7">
        <f t="shared" si="5"/>
        <v>-0.005987706549</v>
      </c>
      <c r="M54" s="1">
        <v>1.0</v>
      </c>
      <c r="N54" s="8">
        <v>116.0</v>
      </c>
      <c r="O54" s="9">
        <v>1.291112</v>
      </c>
      <c r="P54" s="9">
        <v>1.472537</v>
      </c>
      <c r="Q54" s="9">
        <v>0.1845056</v>
      </c>
    </row>
    <row r="55">
      <c r="A55" s="1">
        <v>117.0</v>
      </c>
      <c r="B55" s="1">
        <v>27.716387</v>
      </c>
      <c r="C55" s="1">
        <v>11.480503</v>
      </c>
      <c r="D55" s="1">
        <v>0.0</v>
      </c>
      <c r="E55" s="7">
        <f t="shared" si="1"/>
        <v>30.00000096</v>
      </c>
      <c r="F55" s="7">
        <f t="shared" si="2"/>
        <v>22.4999993</v>
      </c>
      <c r="H55" s="1">
        <v>1.0</v>
      </c>
      <c r="I55" s="7">
        <f t="shared" si="3"/>
        <v>0.03115213823</v>
      </c>
      <c r="J55" s="7">
        <f t="shared" si="4"/>
        <v>0.005512229627</v>
      </c>
      <c r="K55" s="7">
        <f t="shared" si="5"/>
        <v>-0.0128199543</v>
      </c>
      <c r="M55" s="1">
        <v>1.0</v>
      </c>
      <c r="N55" s="8">
        <v>117.0</v>
      </c>
      <c r="O55" s="9">
        <v>1.214788</v>
      </c>
      <c r="P55" s="9">
        <v>1.522368</v>
      </c>
      <c r="Q55" s="9">
        <v>0.2228936</v>
      </c>
    </row>
    <row r="56">
      <c r="A56" s="1">
        <v>118.0</v>
      </c>
      <c r="B56" s="1">
        <v>26.457638</v>
      </c>
      <c r="C56" s="1">
        <v>14.141902</v>
      </c>
      <c r="D56" s="1">
        <v>0.0</v>
      </c>
      <c r="E56" s="7">
        <f t="shared" si="1"/>
        <v>30.00000001</v>
      </c>
      <c r="F56" s="7">
        <f t="shared" si="2"/>
        <v>28.12499976</v>
      </c>
      <c r="H56" s="1">
        <v>1.0</v>
      </c>
      <c r="I56" s="7">
        <f t="shared" si="3"/>
        <v>0.01071637252</v>
      </c>
      <c r="J56" s="7">
        <f t="shared" si="4"/>
        <v>0.0001505074576</v>
      </c>
      <c r="K56" s="7">
        <f t="shared" si="5"/>
        <v>-0.00528293253</v>
      </c>
      <c r="M56" s="1">
        <v>1.0</v>
      </c>
      <c r="N56" s="8">
        <v>118.0</v>
      </c>
      <c r="O56" s="9">
        <v>1.123884</v>
      </c>
      <c r="P56" s="9">
        <v>1.579289</v>
      </c>
      <c r="Q56" s="9">
        <v>0.243374</v>
      </c>
    </row>
    <row r="57">
      <c r="A57" s="1">
        <v>119.0</v>
      </c>
      <c r="B57" s="1">
        <v>24.944088</v>
      </c>
      <c r="C57" s="1">
        <v>16.667107</v>
      </c>
      <c r="D57" s="1">
        <v>0.0</v>
      </c>
      <c r="E57" s="7">
        <f t="shared" si="1"/>
        <v>29.9999997</v>
      </c>
      <c r="F57" s="7">
        <f t="shared" si="2"/>
        <v>33.75000041</v>
      </c>
      <c r="H57" s="1">
        <v>1.0</v>
      </c>
      <c r="I57" s="7">
        <f t="shared" si="3"/>
        <v>-0.03787409457</v>
      </c>
      <c r="J57" s="7">
        <f t="shared" si="4"/>
        <v>-0.01935770212</v>
      </c>
      <c r="K57" s="7">
        <f t="shared" si="5"/>
        <v>0.009258196225</v>
      </c>
      <c r="M57" s="1">
        <v>1.0</v>
      </c>
      <c r="N57" s="8">
        <v>119.0</v>
      </c>
      <c r="O57" s="9">
        <v>1.023724</v>
      </c>
      <c r="P57" s="9">
        <v>1.638457</v>
      </c>
      <c r="Q57" s="9">
        <v>0.2437588</v>
      </c>
    </row>
    <row r="58">
      <c r="A58" s="1">
        <v>120.0</v>
      </c>
      <c r="B58" s="1">
        <v>23.190313</v>
      </c>
      <c r="C58" s="1">
        <v>19.031799</v>
      </c>
      <c r="D58" s="1">
        <v>0.0</v>
      </c>
      <c r="E58" s="7">
        <f t="shared" si="1"/>
        <v>29.99999984</v>
      </c>
      <c r="F58" s="7">
        <f t="shared" si="2"/>
        <v>39.37500143</v>
      </c>
      <c r="H58" s="1">
        <v>1.0</v>
      </c>
      <c r="I58" s="7">
        <f t="shared" si="3"/>
        <v>0.02745545645</v>
      </c>
      <c r="J58" s="7">
        <f t="shared" si="4"/>
        <v>0.06999867087</v>
      </c>
      <c r="K58" s="7">
        <f t="shared" si="5"/>
        <v>0.02127160721</v>
      </c>
      <c r="M58" s="1">
        <v>1.0</v>
      </c>
      <c r="N58" s="8">
        <v>120.0</v>
      </c>
      <c r="O58" s="9">
        <v>0.9191587</v>
      </c>
      <c r="P58" s="9">
        <v>1.694807</v>
      </c>
      <c r="Q58" s="9">
        <v>0.2230447</v>
      </c>
    </row>
    <row r="59">
      <c r="A59" s="1">
        <v>121.0</v>
      </c>
      <c r="B59" s="1">
        <v>21.213203</v>
      </c>
      <c r="C59" s="1">
        <v>21.213203</v>
      </c>
      <c r="D59" s="1">
        <v>0.0</v>
      </c>
      <c r="E59" s="7">
        <f t="shared" si="1"/>
        <v>29.99999938</v>
      </c>
      <c r="F59" s="7">
        <f t="shared" si="2"/>
        <v>45</v>
      </c>
      <c r="H59" s="1">
        <v>1.0</v>
      </c>
      <c r="I59" s="7">
        <f t="shared" si="3"/>
        <v>-0.03265038707</v>
      </c>
      <c r="J59" s="7">
        <f t="shared" si="4"/>
        <v>-0.09456662943</v>
      </c>
      <c r="K59" s="7">
        <f t="shared" si="5"/>
        <v>-0.03095812118</v>
      </c>
      <c r="M59" s="1">
        <v>1.0</v>
      </c>
      <c r="N59" s="8">
        <v>121.0</v>
      </c>
      <c r="O59" s="9">
        <v>0.8161491</v>
      </c>
      <c r="P59" s="9">
        <v>1.743152</v>
      </c>
      <c r="Q59" s="9">
        <v>0.1817029</v>
      </c>
    </row>
    <row r="60">
      <c r="A60" s="1">
        <v>122.0</v>
      </c>
      <c r="B60" s="1">
        <v>19.031799</v>
      </c>
      <c r="C60" s="1">
        <v>23.190313</v>
      </c>
      <c r="D60" s="1">
        <v>0.0</v>
      </c>
      <c r="E60" s="7">
        <f t="shared" si="1"/>
        <v>29.99999984</v>
      </c>
      <c r="F60" s="7">
        <f t="shared" si="2"/>
        <v>50.62499857</v>
      </c>
      <c r="H60" s="1">
        <v>1.0</v>
      </c>
      <c r="I60" s="7">
        <f t="shared" si="3"/>
        <v>0.06508343894</v>
      </c>
      <c r="J60" s="7">
        <f t="shared" si="4"/>
        <v>0.07824245142</v>
      </c>
      <c r="K60" s="7">
        <f t="shared" si="5"/>
        <v>0.006579506242</v>
      </c>
      <c r="M60" s="1">
        <v>1.0</v>
      </c>
      <c r="N60" s="8">
        <v>122.0</v>
      </c>
      <c r="O60" s="9">
        <v>0.7192214</v>
      </c>
      <c r="P60" s="9">
        <v>1.778519</v>
      </c>
      <c r="Q60" s="9">
        <v>0.1213079</v>
      </c>
    </row>
    <row r="61">
      <c r="A61" s="1">
        <v>123.0</v>
      </c>
      <c r="B61" s="1">
        <v>16.667107</v>
      </c>
      <c r="C61" s="1">
        <v>24.944088</v>
      </c>
      <c r="D61" s="1">
        <v>0.0</v>
      </c>
      <c r="E61" s="7">
        <f t="shared" si="1"/>
        <v>29.9999997</v>
      </c>
      <c r="F61" s="7">
        <f t="shared" si="2"/>
        <v>56.24999959</v>
      </c>
      <c r="H61" s="1">
        <v>1.0</v>
      </c>
      <c r="I61" s="7">
        <f t="shared" si="3"/>
        <v>-0.0673841173</v>
      </c>
      <c r="J61" s="7">
        <f t="shared" si="4"/>
        <v>-0.07666771978</v>
      </c>
      <c r="K61" s="7">
        <f t="shared" si="5"/>
        <v>-0.004641801239</v>
      </c>
      <c r="M61" s="1">
        <v>1.0</v>
      </c>
      <c r="N61" s="8">
        <v>123.0</v>
      </c>
      <c r="O61" s="9">
        <v>0.6336046</v>
      </c>
      <c r="P61" s="9">
        <v>1.796787</v>
      </c>
      <c r="Q61" s="9">
        <v>0.04483128</v>
      </c>
    </row>
    <row r="62">
      <c r="A62" s="1">
        <v>124.0</v>
      </c>
      <c r="B62" s="1">
        <v>14.141902</v>
      </c>
      <c r="C62" s="1">
        <v>26.457638</v>
      </c>
      <c r="D62" s="1">
        <v>0.0</v>
      </c>
      <c r="E62" s="7">
        <f t="shared" si="1"/>
        <v>30.00000001</v>
      </c>
      <c r="F62" s="7">
        <f t="shared" si="2"/>
        <v>61.87500024</v>
      </c>
      <c r="H62" s="1">
        <v>1.0</v>
      </c>
      <c r="I62" s="7">
        <f t="shared" si="3"/>
        <v>0.03516376155</v>
      </c>
      <c r="J62" s="7">
        <f t="shared" si="4"/>
        <v>0.09415325296</v>
      </c>
      <c r="K62" s="7">
        <f t="shared" si="5"/>
        <v>0.02949474571</v>
      </c>
      <c r="M62" s="1">
        <v>1.0</v>
      </c>
      <c r="N62" s="8">
        <v>124.0</v>
      </c>
      <c r="O62" s="9">
        <v>0.5623567</v>
      </c>
      <c r="P62" s="9">
        <v>1.794266</v>
      </c>
      <c r="Q62" s="9">
        <v>-0.04392944</v>
      </c>
    </row>
    <row r="63">
      <c r="A63" s="1">
        <v>125.0</v>
      </c>
      <c r="B63" s="1">
        <v>11.480503</v>
      </c>
      <c r="C63" s="1">
        <v>27.716387</v>
      </c>
      <c r="D63" s="1">
        <v>0.0</v>
      </c>
      <c r="E63" s="7">
        <f t="shared" si="1"/>
        <v>30.00000096</v>
      </c>
      <c r="F63" s="7">
        <f t="shared" si="2"/>
        <v>67.5000007</v>
      </c>
      <c r="H63" s="1">
        <v>1.0</v>
      </c>
      <c r="I63" s="7">
        <f t="shared" si="3"/>
        <v>-0.02638764913</v>
      </c>
      <c r="J63" s="7">
        <f t="shared" si="4"/>
        <v>-0.07431521568</v>
      </c>
      <c r="K63" s="7">
        <f t="shared" si="5"/>
        <v>-0.02396378327</v>
      </c>
      <c r="M63" s="1">
        <v>1.0</v>
      </c>
      <c r="N63" s="8">
        <v>125.0</v>
      </c>
      <c r="O63" s="9">
        <v>0.5088195</v>
      </c>
      <c r="P63" s="9">
        <v>1.768923</v>
      </c>
      <c r="Q63" s="9">
        <v>-0.1403423</v>
      </c>
    </row>
    <row r="64">
      <c r="A64" s="1">
        <v>126.0</v>
      </c>
      <c r="B64" s="1">
        <v>8.70854</v>
      </c>
      <c r="C64" s="1">
        <v>28.70821</v>
      </c>
      <c r="D64" s="1">
        <v>0.0</v>
      </c>
      <c r="E64" s="7">
        <f t="shared" si="1"/>
        <v>29.99999984</v>
      </c>
      <c r="F64" s="7">
        <f t="shared" si="2"/>
        <v>73.12500054</v>
      </c>
      <c r="H64" s="1">
        <v>1.0</v>
      </c>
      <c r="I64" s="7">
        <f t="shared" si="3"/>
        <v>0.03800751056</v>
      </c>
      <c r="J64" s="7">
        <f t="shared" si="4"/>
        <v>0.02327293954</v>
      </c>
      <c r="K64" s="7">
        <f t="shared" si="5"/>
        <v>-0.007367285508</v>
      </c>
      <c r="M64" s="1">
        <v>1.0</v>
      </c>
      <c r="N64" s="8">
        <v>126.0</v>
      </c>
      <c r="O64" s="9">
        <v>0.4738518</v>
      </c>
      <c r="P64" s="9">
        <v>1.719305</v>
      </c>
      <c r="Q64" s="9">
        <v>-0.2392638</v>
      </c>
    </row>
    <row r="65">
      <c r="A65" s="1">
        <v>127.0</v>
      </c>
      <c r="B65" s="1">
        <v>5.85271</v>
      </c>
      <c r="C65" s="1">
        <v>29.423559</v>
      </c>
      <c r="D65" s="1">
        <v>0.0</v>
      </c>
      <c r="E65" s="7">
        <f t="shared" si="1"/>
        <v>30.00000064</v>
      </c>
      <c r="F65" s="7">
        <f t="shared" si="2"/>
        <v>78.74999958</v>
      </c>
      <c r="H65" s="1">
        <v>1.0</v>
      </c>
      <c r="I65" s="7">
        <f t="shared" si="3"/>
        <v>-0.01486419809</v>
      </c>
      <c r="J65" s="7">
        <f t="shared" si="4"/>
        <v>-0.0004166626977</v>
      </c>
      <c r="K65" s="7">
        <f t="shared" si="5"/>
        <v>0.007223767697</v>
      </c>
      <c r="M65" s="1">
        <v>1.0</v>
      </c>
      <c r="N65" s="8">
        <v>127.0</v>
      </c>
      <c r="O65" s="9">
        <v>0.4581829</v>
      </c>
      <c r="P65" s="9">
        <v>1.645868</v>
      </c>
      <c r="Q65" s="9">
        <v>-0.335625</v>
      </c>
    </row>
    <row r="66">
      <c r="A66" s="1">
        <v>128.0</v>
      </c>
      <c r="B66" s="1">
        <v>2.940514</v>
      </c>
      <c r="C66" s="1">
        <v>29.855541</v>
      </c>
      <c r="D66" s="1">
        <v>0.0</v>
      </c>
      <c r="E66" s="7">
        <f t="shared" si="1"/>
        <v>29.99999918</v>
      </c>
      <c r="F66" s="7">
        <f t="shared" si="2"/>
        <v>84.37500025</v>
      </c>
      <c r="H66" s="1">
        <v>1.0</v>
      </c>
      <c r="I66" s="7">
        <f t="shared" si="3"/>
        <v>-0.02852458948</v>
      </c>
      <c r="J66" s="7">
        <f t="shared" si="4"/>
        <v>-0.003834093474</v>
      </c>
      <c r="K66" s="7">
        <f t="shared" si="5"/>
        <v>0.012345248</v>
      </c>
      <c r="M66" s="1">
        <v>1.0</v>
      </c>
      <c r="N66" s="8">
        <v>128.0</v>
      </c>
      <c r="O66" s="9">
        <v>0.4603872</v>
      </c>
      <c r="P66" s="9">
        <v>1.550343</v>
      </c>
      <c r="Q66" s="9">
        <v>-0.4239857</v>
      </c>
    </row>
  </sheetData>
  <drawing r:id="rId1"/>
</worksheet>
</file>